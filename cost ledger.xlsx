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calcChain.xml" ContentType="application/vnd.openxmlformats-officedocument.spreadsheetml.calcChain+xml"/>
  <Override PartName="/xl/python.xml" ContentType="application/vnd.ms-excel.pyth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poojajaju/Documents/LinkedIN/Models/AI cost classification/"/>
    </mc:Choice>
  </mc:AlternateContent>
  <xr:revisionPtr revIDLastSave="0" documentId="13_ncr:9_{EF70DF74-A7DD-524A-9485-0C67DA779532}" xr6:coauthVersionLast="47" xr6:coauthVersionMax="47" xr10:uidLastSave="{00000000-0000-0000-0000-000000000000}"/>
  <bookViews>
    <workbookView xWindow="660" yWindow="1000" windowWidth="28040" windowHeight="14840" activeTab="2" xr2:uid="{3A441427-15DB-3E4C-A34C-CDFE948DCB1E}"/>
  </bookViews>
  <sheets>
    <sheet name="Detail1" sheetId="5" r:id="rId1"/>
    <sheet name="Summary" sheetId="3" r:id="rId2"/>
    <sheet name="CostLedger" sheetId="1" r:id="rId3"/>
  </sheets>
  <calcPr calcId="191029"/>
  <pivotCaches>
    <pivotCache cacheId="7" r:id="rId4"/>
    <pivotCache cacheId="11" r:id="rId5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22" i="1" l="1" a="1"/>
  <c r="C42" i="1" s="1" a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python.xml><?xml version="1.0" encoding="utf-8"?>
<python xmlns="http://schemas.microsoft.com/office/spreadsheetml/2023/python">
  <environmentDefinition id="{882DD1B0-6546-4DFA-8A08-902A380B44EA}">
    <initialization>
      <code xml:space="preserve">import numpy as np
import pandas as pd
import matplotlib.pyplot as plt
import seaborn as sns
import statsmodels as sm
import excel
import warnings
warnings.simplefilter('ignore')
excel.set_xl_scalar_conversion(excel.convert_to_scalar)
excel.set_xl_array_conversion(excel.convert_to_dataframe)
</code>
    </initialization>
  </environmentDefinition>
  <pythonScripts>
    <pythonScript>
      <code>import numpy as np
# Use the exact grid range instead of the table name to clear the #NAME? error
df = xl(%P2%, headers=True).copy()
ai = df['Description'].str.lower().str.contains('openai|anthropic|claude|gpt|llm|gemini|bedrock|cohere|cursor|copilot') | df['Vendor'].str.lower().str.contains('openai|anthropic|claude|gpt|llm|gemini|bedrock|cohere|cursor|copilot')
cogs = df['Description'].str.lower().str.contains('production|customer|prod|api usage|vector|inference')
eng = df['CostCenter'].str.lower().str.contains('cc4000|cc4100|engineering|platform')
df['PL_Bucket'] = np.select([ai &amp; cogs, ai, eng], ['COGS', 'R&amp;D', 'R&amp;D'], default='Other_OpEx')
df</code>
    </pythonScript>
    <pythonScript>
      <code>import pandas as pd
import numpy as np
import re
# 1. Load data directly from the active sheet range
df = xl(%P2%, headers=True).copy()
# 2. Construct Composite Text Key
df["CompositeText"] = (
    df["Vendor"].fillna("") + " " +
    df["Account"].fillna("") + " " +
    df["CostCenter"].fillna("") + " " +
    df["Description"].fillna("")
).str.lower()
# 3. Advanced Rule Engine with Guardrails &amp; Weighted Splits
def classify_row_v2(row):
    text = row["CompositeText"]
    # Guardrail: Filter out non-AI false positives
    if "vertex inc" in text or "fireworks events" in text:
        return "Not_AI", "False Positive Guardrail", {}
    # Rule 1: R&amp;D Model Training &amp; Experiments
    if re.search(r"train|fine-?tun|experiment|research|prototype|eval|benchmark|sandbox|dev\b|staging|rlhf", text):
        return "R&amp;D", "Model Training &amp; Experiments", {}
    # Rule 2: Engineering Dev Tools &amp; Observability
    if re.search(r"copilot|cursor|weights &amp; biases|enterprise hub|observability", text):
        return "R&amp;D", "Engineering Dev Tools &amp; Observability", {}
    # Rule 3: Shared GPU Infrastructure Split (70%% COGS / 30%% R&amp;D)
    if re.search(r"aws|azure|gcp|coreweave|lambda", text) and re.search(r"gpu|a100|h100|p4d\.24xlarge|p3\.8xlarge", text):
        return "Split", "Shared GPU Hosting Split", {"COGS": 0.7, "R&amp;D": 0.3}
    # Rule 4: Customer-Facing Inference, Vector DBs, &amp; Infrastructure
    if re.search(r"inference|serving|production|prod\b|customer|api usage|embedding|vector|hosting|endpoint|cortex ai|bedrock|vertex ai", text):
        return "COGS", "Customer-Facing Inference &amp; Infrastructure", {}
    # Rule 5: Productized AI SaaS Apps (Strictly Customer-Facing / Product)
    if re.search(r"voice agent|transcription|add-on|scale plan|elevenlabs", text):
        return "COGS", "Productized AI SaaS", {}
    # Rule 6: Sales &amp; Marketing AI (Catch Gong, Midjourney, Jasper, etc.)
    if re.search(r"marketing|sales|growth|copywriting|lead scor|outbound|campaign|seo|jasper|einstein|gong|midjourney", text):
        return "S&amp;M", "Sales &amp; Marketing AI", {}
    # Rule 7: G&amp;A Internal Productivity
    if re.search(r"finance|legal|hr\b|admin|g&amp;a|chatgpt team|chatgpt enterprise|compliance", text):
        return "G&amp;A", "Internal G&amp;A Productivity", {}
    return "Unclassified", "No Rule Matched", {}
# 4. Process Rows &amp; Expand Weighted Splits
buckets, rules, splits = [], [], []
for _, row in df.iterrows():
    b, r, s = classify_row_v2(row)
    buckets.append(b)
    rules.append(r)
    splits.append(s)
df["Bucket"] = buckets
df["Rule"] = rules
expanded_rows = []
for idx, row in df.iterrows():
    if splits[idx]:
        for b_name, pct in splits[idx].items():
            new_row = row.copy()
            new_row["Bucket"] = b_name
            new_row["Amount"] = row["Amount"] * pct
            new_row["Rule"] = f"{row['Rule']} ({pct:.0%%})"
            expanded_rows.append(new_row)
    else:
        expanded_rows.append(row)
result_df = pd.DataFrame(expanded_rows)
# 5. Output clean table view back into Excel
result_df[["Vendor", "Description", "Amount", "Bucket", "Rule"]]</code>
    </pythonScript>
  </pythonScripts>
</python>
</file>

<file path=xl/sharedStrings.xml><?xml version="1.0" encoding="utf-8"?>
<sst xmlns="http://schemas.openxmlformats.org/spreadsheetml/2006/main" count="138" uniqueCount="71">
  <si>
    <t>LineID</t>
  </si>
  <si>
    <t>Period</t>
  </si>
  <si>
    <t>Vendor</t>
  </si>
  <si>
    <t>Account</t>
  </si>
  <si>
    <t>CostCenter</t>
  </si>
  <si>
    <t>Description</t>
  </si>
  <si>
    <t>Amount</t>
  </si>
  <si>
    <t>2026-08</t>
  </si>
  <si>
    <t>OPENAI *API USAGE</t>
  </si>
  <si>
    <t>6100 Cloud Hosting</t>
  </si>
  <si>
    <t>CC4300 Product</t>
  </si>
  <si>
    <t>INV-0093821 usage Aug-Oct production LLM</t>
  </si>
  <si>
    <t>AMAZON WEB SERVICES</t>
  </si>
  <si>
    <t>CC4100 Platform Eng</t>
  </si>
  <si>
    <t>EC2 BoxUsage:p4d.24xlarge us-east-1 acct 4471</t>
  </si>
  <si>
    <t>CC4000 Engineering</t>
  </si>
  <si>
    <t>SageMaker ml.g5.12xlarge TrainingJob hrs</t>
  </si>
  <si>
    <t>VERTEX INC</t>
  </si>
  <si>
    <t>6200 Tax &amp; Compliance</t>
  </si>
  <si>
    <t>CC7000 Finance</t>
  </si>
  <si>
    <t>Sales tax compliance software annual sub</t>
  </si>
  <si>
    <t>ANTHROPIC PBC</t>
  </si>
  <si>
    <t>Claude API - evaluation harness benchmarking</t>
  </si>
  <si>
    <t>GITHUB INC</t>
  </si>
  <si>
    <t>6500 Software Subscriptions</t>
  </si>
  <si>
    <t>GitHub Copilot Enterprise seats (50)</t>
  </si>
  <si>
    <t>COREWEAVE INC</t>
  </si>
  <si>
    <t>H100 80GB reserved capacity 16x - production cluster</t>
  </si>
  <si>
    <t>FIREWORKS EVENTS LLC</t>
  </si>
  <si>
    <t>7100 T&amp;E</t>
  </si>
  <si>
    <t>CC9000 Admin</t>
  </si>
  <si>
    <t>Team offsite summer entertainment</t>
  </si>
  <si>
    <t>SNOWFLAKE COMPUTING</t>
  </si>
  <si>
    <t>6300 Data Warehouse</t>
  </si>
  <si>
    <t>CC8000 Data &amp; Analytics</t>
  </si>
  <si>
    <t>Cortex AI vector search queries</t>
  </si>
  <si>
    <t>OPENAI *CHATGPT TEAM</t>
  </si>
  <si>
    <t>CC7100 HR</t>
  </si>
  <si>
    <t>ChatGPT Team seats - HR policy drafting</t>
  </si>
  <si>
    <t>DATADOG INC</t>
  </si>
  <si>
    <t>6400 Monitoring</t>
  </si>
  <si>
    <t>LLM Observability and token tracing add-on</t>
  </si>
  <si>
    <t>PINECONE SYSTEMS</t>
  </si>
  <si>
    <t>Vector database pods production search</t>
  </si>
  <si>
    <t>AWS</t>
  </si>
  <si>
    <t>Unallocated GPU cluster reserve p3.8xlarge</t>
  </si>
  <si>
    <t>GONG.IO</t>
  </si>
  <si>
    <t>CC6100 Sales</t>
  </si>
  <si>
    <t>Revenue Intelligence AI scoring seats</t>
  </si>
  <si>
    <t>MIDJOURNEY INC</t>
  </si>
  <si>
    <t>CC6200 Marketing</t>
  </si>
  <si>
    <t>Pro plan image generation for campaigns</t>
  </si>
  <si>
    <t>Failed generic split</t>
  </si>
  <si>
    <t>Sum of Amount</t>
  </si>
  <si>
    <t>Row Labels</t>
  </si>
  <si>
    <t>COGS</t>
  </si>
  <si>
    <t>G&amp;A</t>
  </si>
  <si>
    <t>Not_AI</t>
  </si>
  <si>
    <t>R&amp;D</t>
  </si>
  <si>
    <t>Grand Total</t>
  </si>
  <si>
    <t>Other_OpEx</t>
  </si>
  <si>
    <t>Corrected classification</t>
  </si>
  <si>
    <t>Failed Classification</t>
  </si>
  <si>
    <t>Field1</t>
  </si>
  <si>
    <t>Bucket</t>
  </si>
  <si>
    <t>Rule</t>
  </si>
  <si>
    <t>Customer-Facing Inference &amp; Infrastructure</t>
  </si>
  <si>
    <t>Productized AI SaaS</t>
  </si>
  <si>
    <t>Shared GPU Hosting Split (70%)</t>
  </si>
  <si>
    <t>Details for Sum of Amount - Bucket: COGS</t>
  </si>
  <si>
    <t>S&amp;M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</si>
</sst>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5" formatCode="_(&quot;$&quot;* #,##0_);_(&quot;$&quot;* \(#,##0\);_(&quot;$&quot;* &quot;-&quot;??_);_(@_)"/>
  </numFmts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4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44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1">
    <xf numFmtId="0" fontId="0" fillId="0" borderId="0" xfId="0"/>
    <xf numFmtId="0" fontId="14" fillId="0" borderId="0" xfId="0" applyFont="1"/>
    <xf numFmtId="0" fontId="0" fillId="33" borderId="0" xfId="0" applyFont="1" applyFill="1" applyAlignment="1">
      <alignment horizontal="center"/>
    </xf>
    <xf numFmtId="0" fontId="0" fillId="0" borderId="0" xfId="0" pivotButton="1"/>
    <xf numFmtId="0" fontId="0" fillId="0" borderId="0" xfId="0" applyAlignment="1">
      <alignment horizontal="left"/>
    </xf>
    <xf numFmtId="165" fontId="0" fillId="0" borderId="0" xfId="1" applyNumberFormat="1" applyFont="1"/>
    <xf numFmtId="165" fontId="0" fillId="0" borderId="0" xfId="0" pivotButton="1" applyNumberFormat="1"/>
    <xf numFmtId="165" fontId="0" fillId="0" borderId="0" xfId="0" applyNumberFormat="1"/>
    <xf numFmtId="165" fontId="0" fillId="0" borderId="0" xfId="0" applyNumberFormat="1" applyAlignment="1">
      <alignment horizontal="left"/>
    </xf>
    <xf numFmtId="0" fontId="17" fillId="34" borderId="0" xfId="0" applyFont="1" applyFill="1" applyAlignment="1">
      <alignment horizontal="center"/>
    </xf>
    <xf numFmtId="0" fontId="16" fillId="0" borderId="0" xfId="0" applyFont="1"/>
  </cellXfs>
  <cellStyles count="43">
    <cellStyle name="20% - Accent1" xfId="20" builtinId="30" customBuiltin="1"/>
    <cellStyle name="20% - Accent2" xfId="24" builtinId="34" customBuiltin="1"/>
    <cellStyle name="20% - Accent3" xfId="28" builtinId="38" customBuiltin="1"/>
    <cellStyle name="20% - Accent4" xfId="32" builtinId="42" customBuiltin="1"/>
    <cellStyle name="20% - Accent5" xfId="36" builtinId="46" customBuiltin="1"/>
    <cellStyle name="20% - Accent6" xfId="40" builtinId="50" customBuiltin="1"/>
    <cellStyle name="40% - Accent1" xfId="21" builtinId="31" customBuiltin="1"/>
    <cellStyle name="40% - Accent2" xfId="25" builtinId="35" customBuiltin="1"/>
    <cellStyle name="40% - Accent3" xfId="29" builtinId="39" customBuiltin="1"/>
    <cellStyle name="40% - Accent4" xfId="33" builtinId="43" customBuiltin="1"/>
    <cellStyle name="40% - Accent5" xfId="37" builtinId="47" customBuiltin="1"/>
    <cellStyle name="40% - Accent6" xfId="41" builtinId="51" customBuiltin="1"/>
    <cellStyle name="60% - Accent1" xfId="22" builtinId="32" customBuiltin="1"/>
    <cellStyle name="60% - Accent2" xfId="26" builtinId="36" customBuiltin="1"/>
    <cellStyle name="60% - Accent3" xfId="30" builtinId="40" customBuiltin="1"/>
    <cellStyle name="60% - Accent4" xfId="34" builtinId="44" customBuiltin="1"/>
    <cellStyle name="60% - Accent5" xfId="38" builtinId="48" customBuiltin="1"/>
    <cellStyle name="60% - Accent6" xfId="42" builtinId="52" customBuiltin="1"/>
    <cellStyle name="Accent1" xfId="19" builtinId="29" customBuiltin="1"/>
    <cellStyle name="Accent2" xfId="23" builtinId="33" customBuiltin="1"/>
    <cellStyle name="Accent3" xfId="27" builtinId="37" customBuiltin="1"/>
    <cellStyle name="Accent4" xfId="31" builtinId="41" customBuiltin="1"/>
    <cellStyle name="Accent5" xfId="35" builtinId="45" customBuiltin="1"/>
    <cellStyle name="Accent6" xfId="39" builtinId="49" customBuiltin="1"/>
    <cellStyle name="Bad" xfId="8" builtinId="27" customBuiltin="1"/>
    <cellStyle name="Calculation" xfId="12" builtinId="22" customBuiltin="1"/>
    <cellStyle name="Check Cell" xfId="14" builtinId="23" customBuiltin="1"/>
    <cellStyle name="Currency" xfId="1" builtinId="4"/>
    <cellStyle name="Explanatory Text" xfId="17" builtinId="53" customBuiltin="1"/>
    <cellStyle name="Good" xfId="7" builtinId="26" customBuiltin="1"/>
    <cellStyle name="Heading 1" xfId="3" builtinId="16" customBuiltin="1"/>
    <cellStyle name="Heading 2" xfId="4" builtinId="17" customBuiltin="1"/>
    <cellStyle name="Heading 3" xfId="5" builtinId="18" customBuiltin="1"/>
    <cellStyle name="Heading 4" xfId="6" builtinId="19" customBuiltin="1"/>
    <cellStyle name="Input" xfId="10" builtinId="20" customBuiltin="1"/>
    <cellStyle name="Linked Cell" xfId="13" builtinId="24" customBuiltin="1"/>
    <cellStyle name="Neutral" xfId="9" builtinId="28" customBuiltin="1"/>
    <cellStyle name="Normal" xfId="0" builtinId="0"/>
    <cellStyle name="Note" xfId="16" builtinId="10" customBuiltin="1"/>
    <cellStyle name="Output" xfId="11" builtinId="21" customBuiltin="1"/>
    <cellStyle name="Title" xfId="2" builtinId="15" customBuiltin="1"/>
    <cellStyle name="Total" xfId="18" builtinId="25" customBuiltin="1"/>
    <cellStyle name="Warning Text" xfId="15" builtinId="11" customBuiltin="1"/>
  </cellStyles>
  <dxfs count="28">
    <dxf>
      <numFmt numFmtId="165" formatCode="_(&quot;$&quot;* #,##0_);_(&quot;$&quot;* \(#,##0\);_(&quot;$&quot;* &quot;-&quot;??_);_(@_)"/>
    </dxf>
    <dxf>
      <numFmt numFmtId="165" formatCode="_(&quot;$&quot;* #,##0_);_(&quot;$&quot;* \(#,##0\);_(&quot;$&quot;* &quot;-&quot;??_);_(@_)"/>
    </dxf>
    <dxf>
      <numFmt numFmtId="165" formatCode="_(&quot;$&quot;* #,##0_);_(&quot;$&quot;* \(#,##0\);_(&quot;$&quot;* &quot;-&quot;??_);_(@_)"/>
    </dxf>
    <dxf>
      <numFmt numFmtId="165" formatCode="_(&quot;$&quot;* #,##0_);_(&quot;$&quot;* \(#,##0\);_(&quot;$&quot;* &quot;-&quot;??_);_(@_)"/>
    </dxf>
    <dxf>
      <numFmt numFmtId="165" formatCode="_(&quot;$&quot;* #,##0_);_(&quot;$&quot;* \(#,##0\);_(&quot;$&quot;* &quot;-&quot;??_);_(@_)"/>
    </dxf>
    <dxf>
      <numFmt numFmtId="165" formatCode="_(&quot;$&quot;* #,##0_);_(&quot;$&quot;* \(#,##0\);_(&quot;$&quot;* &quot;-&quot;??_);_(@_)"/>
    </dxf>
    <dxf>
      <numFmt numFmtId="165" formatCode="_(&quot;$&quot;* #,##0_);_(&quot;$&quot;* \(#,##0\);_(&quot;$&quot;* &quot;-&quot;??_);_(@_)"/>
    </dxf>
    <dxf>
      <numFmt numFmtId="165" formatCode="_(&quot;$&quot;* #,##0_);_(&quot;$&quot;* \(#,##0\);_(&quot;$&quot;* &quot;-&quot;??_);_(@_)"/>
    </dxf>
    <dxf>
      <numFmt numFmtId="165" formatCode="_(&quot;$&quot;* #,##0_);_(&quot;$&quot;* \(#,##0\);_(&quot;$&quot;* &quot;-&quot;??_);_(@_)"/>
    </dxf>
    <dxf>
      <numFmt numFmtId="164" formatCode="_(&quot;$&quot;* #,##0.0_);_(&quot;$&quot;* \(#,##0.0\);_(&quot;$&quot;* &quot;-&quot;??_);_(@_)"/>
    </dxf>
    <dxf>
      <numFmt numFmtId="164" formatCode="_(&quot;$&quot;* #,##0.0_);_(&quot;$&quot;* \(#,##0.0\);_(&quot;$&quot;* &quot;-&quot;??_);_(@_)"/>
    </dxf>
    <dxf>
      <numFmt numFmtId="164" formatCode="_(&quot;$&quot;* #,##0.0_);_(&quot;$&quot;* \(#,##0.0\);_(&quot;$&quot;* &quot;-&quot;??_);_(@_)"/>
    </dxf>
    <dxf>
      <numFmt numFmtId="164" formatCode="_(&quot;$&quot;* #,##0.0_);_(&quot;$&quot;* \(#,##0.0\);_(&quot;$&quot;* &quot;-&quot;??_);_(@_)"/>
    </dxf>
    <dxf>
      <numFmt numFmtId="164" formatCode="_(&quot;$&quot;* #,##0.0_);_(&quot;$&quot;* \(#,##0.0\);_(&quot;$&quot;* &quot;-&quot;??_);_(@_)"/>
    </dxf>
    <dxf>
      <numFmt numFmtId="164" formatCode="_(&quot;$&quot;* #,##0.0_);_(&quot;$&quot;* \(#,##0.0\);_(&quot;$&quot;* &quot;-&quot;??_);_(@_)"/>
    </dxf>
    <dxf>
      <numFmt numFmtId="165" formatCode="_(&quot;$&quot;* #,##0_);_(&quot;$&quot;* \(#,##0\);_(&quot;$&quot;* &quot;-&quot;??_);_(@_)"/>
    </dxf>
    <dxf>
      <numFmt numFmtId="164" formatCode="_(&quot;$&quot;* #,##0.0_);_(&quot;$&quot;* \(#,##0.0\);_(&quot;$&quot;* &quot;-&quot;??_);_(@_)"/>
    </dxf>
    <dxf>
      <numFmt numFmtId="164" formatCode="_(&quot;$&quot;* #,##0.0_);_(&quot;$&quot;* \(#,##0.0\);_(&quot;$&quot;* &quot;-&quot;??_);_(@_)"/>
    </dxf>
    <dxf>
      <numFmt numFmtId="34" formatCode="_(&quot;$&quot;* #,##0.00_);_(&quot;$&quot;* \(#,##0.00\);_(&quot;$&quot;* &quot;-&quot;??_);_(@_)"/>
    </dxf>
    <dxf>
      <numFmt numFmtId="34" formatCode="_(&quot;$&quot;* #,##0.00_);_(&quot;$&quot;* \(#,##0.00\);_(&quot;$&quot;* &quot;-&quot;??_);_(@_)"/>
    </dxf>
    <dxf>
      <numFmt numFmtId="34" formatCode="_(&quot;$&quot;* #,##0.00_);_(&quot;$&quot;* \(#,##0.00\);_(&quot;$&quot;* &quot;-&quot;??_);_(@_)"/>
    </dxf>
    <dxf>
      <numFmt numFmtId="34" formatCode="_(&quot;$&quot;* #,##0.00_);_(&quot;$&quot;* \(#,##0.00\);_(&quot;$&quot;* &quot;-&quot;??_);_(@_)"/>
    </dxf>
    <dxf>
      <numFmt numFmtId="34" formatCode="_(&quot;$&quot;* #,##0.00_);_(&quot;$&quot;* \(#,##0.00\);_(&quot;$&quot;* &quot;-&quot;??_);_(@_)"/>
    </dxf>
    <dxf>
      <numFmt numFmtId="34" formatCode="_(&quot;$&quot;* #,##0.00_);_(&quot;$&quot;* \(#,##0.00\);_(&quot;$&quot;* &quot;-&quot;??_);_(@_)"/>
    </dxf>
    <dxf>
      <numFmt numFmtId="34" formatCode="_(&quot;$&quot;* #,##0.00_);_(&quot;$&quot;* \(#,##0.00\);_(&quot;$&quot;* &quot;-&quot;??_);_(@_)"/>
    </dxf>
    <dxf>
      <numFmt numFmtId="34" formatCode="_(&quot;$&quot;* #,##0.00_);_(&quot;$&quot;* \(#,##0.00\);_(&quot;$&quot;* &quot;-&quot;??_);_(@_)"/>
    </dxf>
    <dxf>
      <numFmt numFmtId="165" formatCode="_(&quot;$&quot;* #,##0_);_(&quot;$&quot;* \(#,##0\);_(&quot;$&quot;* &quot;-&quot;??_);_(@_)"/>
    </dxf>
    <dxf>
      <numFmt numFmtId="165" formatCode="_(&quot;$&quot;* #,##0_);_(&quot;$&quot;* \(#,##0\);_(&quot;$&quot;* &quot;-&quot;??_);_(@_)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microsoft.com/office/2023/09/relationships/Python" Target="python.xml"/><Relationship Id="rId5" Type="http://schemas.openxmlformats.org/officeDocument/2006/relationships/pivotCacheDefinition" Target="pivotCache/pivotCacheDefinition2.xml"/><Relationship Id="rId10" Type="http://schemas.openxmlformats.org/officeDocument/2006/relationships/calcChain" Target="calcChain.xml"/><Relationship Id="rId4" Type="http://schemas.openxmlformats.org/officeDocument/2006/relationships/pivotCacheDefinition" Target="pivotCache/pivotCacheDefinition1.xml"/><Relationship Id="rId9" Type="http://schemas.openxmlformats.org/officeDocument/2006/relationships/sheetMetadata" Target="metadata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icrosoft Office User" refreshedDate="46318.749817939817" createdVersion="8" refreshedVersion="8" minRefreshableVersion="3" recordCount="15" xr:uid="{B9CCC8AC-F5B7-8644-B98D-1273B810BE57}">
  <cacheSource type="worksheet">
    <worksheetSource ref="C22:J37" sheet="CostLedger"/>
  </cacheSource>
  <cacheFields count="8">
    <cacheField name="LineID" numFmtId="0">
      <sharedItems containsSemiMixedTypes="0" containsString="0" containsNumber="1" containsInteger="1" minValue="1" maxValue="15"/>
    </cacheField>
    <cacheField name="Period" numFmtId="0">
      <sharedItems/>
    </cacheField>
    <cacheField name="Vendor" numFmtId="0">
      <sharedItems/>
    </cacheField>
    <cacheField name="Account" numFmtId="0">
      <sharedItems/>
    </cacheField>
    <cacheField name="CostCenter" numFmtId="0">
      <sharedItems/>
    </cacheField>
    <cacheField name="Description" numFmtId="0">
      <sharedItems/>
    </cacheField>
    <cacheField name="Amount" numFmtId="0">
      <sharedItems containsSemiMixedTypes="0" containsString="0" containsNumber="1" minValue="-500" maxValue="93970.55"/>
    </cacheField>
    <cacheField name="PL_Bucket" numFmtId="0">
      <sharedItems count="3">
        <s v="COGS"/>
        <s v="R&amp;D"/>
        <s v="Other_OpEx"/>
      </sharedItems>
    </cacheField>
  </cacheFields>
  <extLst>
    <ext xmlns:x14="http://schemas.microsoft.com/office/spreadsheetml/2009/9/main" uri="{725AE2AE-9491-48be-B2B4-4EB974FC3084}">
      <x14:pivotCacheDefinition/>
    </ext>
    <ext xmlns:xlpdsc="http://schemas.microsoft.com/office/spreadsheetml/2026/pivotDataSourceClean" uri="{F4336242-56EE-4DD3-A5F7-E900642BF6E9}">
      <xlpdsc:dataSourceClean>1</xlpdsc:dataSourceClean>
    </ext>
    <ext xmlns:xlpds="http://schemas.microsoft.com/office/spreadsheetml/2025/pivotDataSource" uri="{1DE1FBE3-BBE2-450B-8D17-3B53B619325D}">
      <xlpds:pivotCacheDataSource ref="C22"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icrosoft Office User" refreshedDate="46318.755976157408" createdVersion="8" refreshedVersion="8" minRefreshableVersion="3" recordCount="17" xr:uid="{635724B8-C591-AC41-882C-803989F145A6}">
  <cacheSource type="worksheet">
    <worksheetSource ref="C42:H59" sheet="CostLedger"/>
  </cacheSource>
  <cacheFields count="6">
    <cacheField name="Field1" caption="Field1" numFmtId="0">
      <sharedItems containsSemiMixedTypes="0" containsString="0" containsNumber="1" containsInteger="1" minValue="0" maxValue="14"/>
    </cacheField>
    <cacheField name="Vendor" numFmtId="0">
      <sharedItems/>
    </cacheField>
    <cacheField name="Description" numFmtId="0">
      <sharedItems/>
    </cacheField>
    <cacheField name="Amount" numFmtId="0">
      <sharedItems containsSemiMixedTypes="0" containsString="0" containsNumber="1" minValue="-500" maxValue="93970.55"/>
    </cacheField>
    <cacheField name="Bucket" numFmtId="0">
      <sharedItems count="5">
        <s v="COGS"/>
        <s v="R&amp;D"/>
        <s v="Not_AI"/>
        <s v="G&amp;A"/>
        <s v="S&amp;M"/>
      </sharedItems>
    </cacheField>
    <cacheField name="Rule" numFmtId="0">
      <sharedItems/>
    </cacheField>
  </cacheFields>
  <extLst>
    <ext xmlns:x14="http://schemas.microsoft.com/office/spreadsheetml/2009/9/main" uri="{725AE2AE-9491-48be-B2B4-4EB974FC3084}">
      <x14:pivotCacheDefinition/>
    </ext>
    <ext xmlns:xxpvi="http://schemas.microsoft.com/office/spreadsheetml/2022/pivotVersionInfo" uri="{9F748A41-CAEA-4470-BF7A-CE61E8FFA7F9}">
      <xxpvi:cacheVersionInfo>
        <xxpvi:lastRefreshFeature>PivotDynamicArray</xxpvi:lastRefreshFeature>
      </xxpvi:cacheVersionInfo>
    </ext>
    <ext xmlns:xlpdsc="http://schemas.microsoft.com/office/spreadsheetml/2026/pivotDataSourceClean" uri="{F4336242-56EE-4DD3-A5F7-E900642BF6E9}">
      <xlpdsc:dataSourceClean>1</xlpdsc:dataSourceClean>
    </ext>
    <ext xmlns:xlpds="http://schemas.microsoft.com/office/spreadsheetml/2025/pivotDataSource" uri="{1DE1FBE3-BBE2-450B-8D17-3B53B619325D}">
      <xlpds:pivotCacheDataSource ref="C42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5">
  <r>
    <n v="1"/>
    <s v="2026-08"/>
    <s v="OPENAI *API USAGE"/>
    <s v="6100 Cloud Hosting"/>
    <s v="CC4300 Product"/>
    <s v="INV-0093821 usage Aug-Oct production LLM"/>
    <n v="45000"/>
    <x v="0"/>
  </r>
  <r>
    <n v="2"/>
    <s v="2026-08"/>
    <s v="AMAZON WEB SERVICES"/>
    <s v="6100 Cloud Hosting"/>
    <s v="CC4100 Platform Eng"/>
    <s v="EC2 BoxUsage:p4d.24xlarge us-east-1 acct 4471"/>
    <n v="93970.55"/>
    <x v="1"/>
  </r>
  <r>
    <n v="3"/>
    <s v="2026-08"/>
    <s v="AMAZON WEB SERVICES"/>
    <s v="6100 Cloud Hosting"/>
    <s v="CC4000 Engineering"/>
    <s v="SageMaker ml.g5.12xlarge TrainingJob hrs"/>
    <n v="29490.16"/>
    <x v="1"/>
  </r>
  <r>
    <n v="4"/>
    <s v="2026-08"/>
    <s v="VERTEX INC"/>
    <s v="6200 Tax &amp; Compliance"/>
    <s v="CC7000 Finance"/>
    <s v="Sales tax compliance software annual sub"/>
    <n v="1500"/>
    <x v="2"/>
  </r>
  <r>
    <n v="5"/>
    <s v="2026-08"/>
    <s v="ANTHROPIC PBC"/>
    <s v="6100 Cloud Hosting"/>
    <s v="CC4000 Engineering"/>
    <s v="Claude API - evaluation harness benchmarking"/>
    <n v="8000"/>
    <x v="1"/>
  </r>
  <r>
    <n v="6"/>
    <s v="2026-08"/>
    <s v="GITHUB INC"/>
    <s v="6500 Software Subscriptions"/>
    <s v="CC4000 Engineering"/>
    <s v="GitHub Copilot Enterprise seats (50)"/>
    <n v="3500"/>
    <x v="1"/>
  </r>
  <r>
    <n v="7"/>
    <s v="2026-08"/>
    <s v="COREWEAVE INC"/>
    <s v="6100 Cloud Hosting"/>
    <s v="CC4100 Platform Eng"/>
    <s v="H100 80GB reserved capacity 16x - production cluster"/>
    <n v="54000"/>
    <x v="1"/>
  </r>
  <r>
    <n v="8"/>
    <s v="2026-08"/>
    <s v="FIREWORKS EVENTS LLC"/>
    <s v="7100 T&amp;E"/>
    <s v="CC9000 Admin"/>
    <s v="Team offsite summer entertainment"/>
    <n v="-500"/>
    <x v="2"/>
  </r>
  <r>
    <n v="9"/>
    <s v="2026-08"/>
    <s v="SNOWFLAKE COMPUTING"/>
    <s v="6300 Data Warehouse"/>
    <s v="CC8000 Data &amp; Analytics"/>
    <s v="Cortex AI vector search queries"/>
    <n v="5400"/>
    <x v="2"/>
  </r>
  <r>
    <n v="10"/>
    <s v="2026-08"/>
    <s v="OPENAI *CHATGPT TEAM"/>
    <s v="6500 Software Subscriptions"/>
    <s v="CC7100 HR"/>
    <s v="ChatGPT Team seats - HR policy drafting"/>
    <n v="1100"/>
    <x v="1"/>
  </r>
  <r>
    <n v="11"/>
    <s v="2026-08"/>
    <s v="DATADOG INC"/>
    <s v="6400 Monitoring"/>
    <s v="CC4100 Platform Eng"/>
    <s v="LLM Observability and token tracing add-on"/>
    <n v="4200"/>
    <x v="1"/>
  </r>
  <r>
    <n v="12"/>
    <s v="2026-08"/>
    <s v="PINECONE SYSTEMS"/>
    <s v="6100 Cloud Hosting"/>
    <s v="CC4300 Product"/>
    <s v="Vector database pods production search"/>
    <n v="6200"/>
    <x v="2"/>
  </r>
  <r>
    <n v="13"/>
    <s v="2026-08"/>
    <s v="AWS"/>
    <s v="6100 Cloud Hosting"/>
    <s v="CC4000 Engineering"/>
    <s v="Unallocated GPU cluster reserve p3.8xlarge"/>
    <n v="18000"/>
    <x v="1"/>
  </r>
  <r>
    <n v="14"/>
    <s v="2026-08"/>
    <s v="GONG.IO"/>
    <s v="6500 Software Subscriptions"/>
    <s v="CC6100 Sales"/>
    <s v="Revenue Intelligence AI scoring seats"/>
    <n v="7500"/>
    <x v="2"/>
  </r>
  <r>
    <n v="15"/>
    <s v="2026-08"/>
    <s v="MIDJOURNEY INC"/>
    <s v="6500 Software Subscriptions"/>
    <s v="CC6200 Marketing"/>
    <s v="Pro plan image generation for campaigns"/>
    <n v="900"/>
    <x v="2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7">
  <r>
    <n v="0"/>
    <s v="OPENAI *API USAGE"/>
    <s v="INV-0093821 usage Aug-Oct production LLM"/>
    <n v="45000"/>
    <x v="0"/>
    <s v="Customer-Facing Inference &amp; Infrastructure"/>
  </r>
  <r>
    <n v="1"/>
    <s v="AMAZON WEB SERVICES"/>
    <s v="EC2 BoxUsage:p4d.24xlarge us-east-1 acct 4471"/>
    <n v="93970.55"/>
    <x v="0"/>
    <s v="Customer-Facing Inference &amp; Infrastructure"/>
  </r>
  <r>
    <n v="2"/>
    <s v="AMAZON WEB SERVICES"/>
    <s v="SageMaker ml.g5.12xlarge TrainingJob hrs"/>
    <n v="29490.16"/>
    <x v="1"/>
    <s v="Model Training &amp; Experiments"/>
  </r>
  <r>
    <n v="3"/>
    <s v="VERTEX INC"/>
    <s v="Sales tax compliance software annual sub"/>
    <n v="1500"/>
    <x v="2"/>
    <s v="False Positive Guardrail"/>
  </r>
  <r>
    <n v="4"/>
    <s v="ANTHROPIC PBC"/>
    <s v="Claude API - evaluation harness benchmarking"/>
    <n v="8000"/>
    <x v="1"/>
    <s v="Model Training &amp; Experiments"/>
  </r>
  <r>
    <n v="5"/>
    <s v="GITHUB INC"/>
    <s v="GitHub Copilot Enterprise seats (50)"/>
    <n v="3500"/>
    <x v="1"/>
    <s v="Engineering Dev Tools &amp; Observability"/>
  </r>
  <r>
    <n v="6"/>
    <s v="COREWEAVE INC"/>
    <s v="H100 80GB reserved capacity 16x - production cluster"/>
    <n v="37800"/>
    <x v="0"/>
    <s v="Shared GPU Hosting Split (70%)"/>
  </r>
  <r>
    <n v="6"/>
    <s v="COREWEAVE INC"/>
    <s v="H100 80GB reserved capacity 16x - production cluster"/>
    <n v="16200"/>
    <x v="1"/>
    <s v="Shared GPU Hosting Split (30%)"/>
  </r>
  <r>
    <n v="7"/>
    <s v="FIREWORKS EVENTS LLC"/>
    <s v="Team offsite summer entertainment"/>
    <n v="-500"/>
    <x v="2"/>
    <s v="False Positive Guardrail"/>
  </r>
  <r>
    <n v="8"/>
    <s v="SNOWFLAKE COMPUTING"/>
    <s v="Cortex AI vector search queries"/>
    <n v="5400"/>
    <x v="0"/>
    <s v="Customer-Facing Inference &amp; Infrastructure"/>
  </r>
  <r>
    <n v="9"/>
    <s v="OPENAI *CHATGPT TEAM"/>
    <s v="ChatGPT Team seats - HR policy drafting"/>
    <n v="1100"/>
    <x v="3"/>
    <s v="Internal G&amp;A Productivity"/>
  </r>
  <r>
    <n v="10"/>
    <s v="DATADOG INC"/>
    <s v="LLM Observability and token tracing add-on"/>
    <n v="4200"/>
    <x v="1"/>
    <s v="Engineering Dev Tools &amp; Observability"/>
  </r>
  <r>
    <n v="11"/>
    <s v="PINECONE SYSTEMS"/>
    <s v="Vector database pods production search"/>
    <n v="6200"/>
    <x v="0"/>
    <s v="Customer-Facing Inference &amp; Infrastructure"/>
  </r>
  <r>
    <n v="12"/>
    <s v="AWS"/>
    <s v="Unallocated GPU cluster reserve p3.8xlarge"/>
    <n v="12600"/>
    <x v="0"/>
    <s v="Shared GPU Hosting Split (70%)"/>
  </r>
  <r>
    <n v="12"/>
    <s v="AWS"/>
    <s v="Unallocated GPU cluster reserve p3.8xlarge"/>
    <n v="5400"/>
    <x v="1"/>
    <s v="Shared GPU Hosting Split (30%)"/>
  </r>
  <r>
    <n v="13"/>
    <s v="GONG.IO"/>
    <s v="Revenue Intelligence AI scoring seats"/>
    <n v="7500"/>
    <x v="4"/>
    <s v="Sales &amp; Marketing AI"/>
  </r>
  <r>
    <n v="14"/>
    <s v="MIDJOURNEY INC"/>
    <s v="Pro plan image generation for campaigns"/>
    <n v="900"/>
    <x v="4"/>
    <s v="Sales &amp; Marketing AI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49381A7-D31A-5246-BD37-DC3BD7A86471}" name="PivotTable2" cacheId="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D3:E7" firstHeaderRow="1" firstDataRow="1" firstDataCol="1"/>
  <pivotFields count="8">
    <pivotField showAll="0"/>
    <pivotField showAll="0"/>
    <pivotField showAll="0"/>
    <pivotField showAll="0"/>
    <pivotField showAll="0"/>
    <pivotField showAll="0"/>
    <pivotField dataField="1" showAll="0"/>
    <pivotField axis="axisRow" showAll="0" sortType="descending">
      <items count="4">
        <item x="1"/>
        <item x="2"/>
        <item x="0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</pivotFields>
  <rowFields count="1">
    <field x="7"/>
  </rowFields>
  <rowItems count="4">
    <i>
      <x/>
    </i>
    <i>
      <x v="2"/>
    </i>
    <i>
      <x v="1"/>
    </i>
    <i t="grand">
      <x/>
    </i>
  </rowItems>
  <colItems count="1">
    <i/>
  </colItems>
  <dataFields count="1">
    <dataField name="Sum of Amount" fld="6" baseField="0" baseItem="0" numFmtId="165"/>
  </dataFields>
  <formats count="6">
    <format dxfId="15">
      <pivotArea type="all" dataOnly="0" outline="0" fieldPosition="0"/>
    </format>
    <format dxfId="7">
      <pivotArea outline="0" collapsedLevelsAreSubtotals="1" fieldPosition="0"/>
    </format>
    <format dxfId="6">
      <pivotArea field="7" type="button" dataOnly="0" labelOnly="1" outline="0" axis="axisRow" fieldPosition="0"/>
    </format>
    <format dxfId="5">
      <pivotArea dataOnly="0" labelOnly="1" fieldPosition="0">
        <references count="1">
          <reference field="7" count="0"/>
        </references>
      </pivotArea>
    </format>
    <format dxfId="4">
      <pivotArea dataOnly="0" labelOnly="1" grandRow="1" outline="0" fieldPosition="0"/>
    </format>
    <format dxfId="3">
      <pivotArea dataOnly="0" labelOnly="1" outline="0" axis="axisValues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  <ext xmlns:xxpvi="http://schemas.microsoft.com/office/spreadsheetml/2022/pivotVersionInfo" uri="{9F748A41-CAEA-4470-BF7A-CE61E8FFA7F9}">
      <xxpvi:pivotVersionInfo>
        <xxpvi:lastUpdateFeature>PivotDynamicArray</xxpvi:lastUpdateFeature>
      </xxpvi:pivotVersionInfo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F8F5CE0-3E4A-D743-8CDD-213080043DD8}" name="PivotTable1" cacheId="1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9" firstHeaderRow="1" firstDataRow="1" firstDataCol="1"/>
  <pivotFields count="6">
    <pivotField showAll="0"/>
    <pivotField showAll="0"/>
    <pivotField showAll="0"/>
    <pivotField dataField="1" showAll="0"/>
    <pivotField axis="axisRow" showAll="0" sortType="descending">
      <items count="6">
        <item x="1"/>
        <item x="2"/>
        <item x="3"/>
        <item x="0"/>
        <item x="4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</pivotFields>
  <rowFields count="1">
    <field x="4"/>
  </rowFields>
  <rowItems count="6">
    <i>
      <x v="3"/>
    </i>
    <i>
      <x/>
    </i>
    <i>
      <x v="4"/>
    </i>
    <i>
      <x v="2"/>
    </i>
    <i>
      <x v="1"/>
    </i>
    <i t="grand">
      <x/>
    </i>
  </rowItems>
  <colItems count="1">
    <i/>
  </colItems>
  <dataFields count="1">
    <dataField name="Sum of Amount" fld="3" baseField="0" baseItem="0" numFmtId="165"/>
  </dataFields>
  <formats count="2">
    <format dxfId="27">
      <pivotArea outline="0" collapsedLevelsAreSubtotals="1" fieldPosition="0"/>
    </format>
    <format dxfId="26">
      <pivotArea dataOnly="0" labelOnly="1" outline="0" axis="axisValues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  <ext xmlns:xxpvi="http://schemas.microsoft.com/office/spreadsheetml/2022/pivotVersionInfo" uri="{9F748A41-CAEA-4470-BF7A-CE61E8FFA7F9}">
      <xxpvi:pivotVersionInfo>
        <xxpvi:lastUpdateFeature>PivotDynamicArray</xxpvi:lastUpdateFeature>
      </xxpvi:pivotVersionInfo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787B060-6B1D-1C42-A96F-6E42986FF49B}" name="Table1" displayName="Table1" ref="A3:F11" totalsRowShown="0">
  <autoFilter ref="A3:F11" xr:uid="{F787B060-6B1D-1C42-A96F-6E42986FF49B}"/>
  <tableColumns count="6">
    <tableColumn id="1" xr3:uid="{42909F9E-A160-5D4A-A118-8D86F07501E2}" name="Field1"/>
    <tableColumn id="2" xr3:uid="{90FCAA8F-3419-0A46-A135-B4FBAF304D91}" name="Vendor"/>
    <tableColumn id="3" xr3:uid="{5932572D-0C2D-2C42-86CE-5201E1431961}" name="Description"/>
    <tableColumn id="4" xr3:uid="{ABB588BF-C0AF-5B4A-AFCB-8CCBC3772CF0}" name="Amount"/>
    <tableColumn id="5" xr3:uid="{487D2F5C-9FB4-D847-893B-77B5DEA2B0BC}" name="Bucket"/>
    <tableColumn id="6" xr3:uid="{542B7EA5-9221-F342-B661-868F6EAA9A13}" name="Rul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D707B0-D7A5-2545-86C5-D71C147F83AF}">
  <dimension ref="A1:F11"/>
  <sheetViews>
    <sheetView workbookViewId="0">
      <selection activeCell="B6" sqref="B6:F7"/>
    </sheetView>
  </sheetViews>
  <sheetFormatPr baseColWidth="10" defaultRowHeight="16" x14ac:dyDescent="0.2"/>
  <cols>
    <col min="1" max="1" width="11" bestFit="1" customWidth="1"/>
    <col min="2" max="2" width="22.33203125" bestFit="1" customWidth="1"/>
    <col min="3" max="3" width="45.33203125" bestFit="1" customWidth="1"/>
    <col min="4" max="5" width="11" bestFit="1" customWidth="1"/>
    <col min="6" max="6" width="37" bestFit="1" customWidth="1"/>
  </cols>
  <sheetData>
    <row r="1" spans="1:6" x14ac:dyDescent="0.2">
      <c r="A1" s="10" t="s">
        <v>69</v>
      </c>
    </row>
    <row r="3" spans="1:6" x14ac:dyDescent="0.2">
      <c r="A3" t="s">
        <v>63</v>
      </c>
      <c r="B3" t="s">
        <v>2</v>
      </c>
      <c r="C3" t="s">
        <v>5</v>
      </c>
      <c r="D3" t="s">
        <v>6</v>
      </c>
      <c r="E3" t="s">
        <v>64</v>
      </c>
      <c r="F3" t="s">
        <v>65</v>
      </c>
    </row>
    <row r="4" spans="1:6" x14ac:dyDescent="0.2">
      <c r="A4">
        <v>0</v>
      </c>
      <c r="B4" t="s">
        <v>8</v>
      </c>
      <c r="C4" t="s">
        <v>11</v>
      </c>
      <c r="D4">
        <v>45000</v>
      </c>
      <c r="E4" t="s">
        <v>55</v>
      </c>
      <c r="F4" t="s">
        <v>66</v>
      </c>
    </row>
    <row r="5" spans="1:6" x14ac:dyDescent="0.2">
      <c r="A5">
        <v>1</v>
      </c>
      <c r="B5" t="s">
        <v>12</v>
      </c>
      <c r="C5" t="s">
        <v>14</v>
      </c>
      <c r="D5">
        <v>93970.55</v>
      </c>
      <c r="E5" t="s">
        <v>55</v>
      </c>
      <c r="F5" t="s">
        <v>66</v>
      </c>
    </row>
    <row r="6" spans="1:6" x14ac:dyDescent="0.2">
      <c r="A6">
        <v>14</v>
      </c>
      <c r="B6" t="s">
        <v>49</v>
      </c>
      <c r="C6" t="s">
        <v>51</v>
      </c>
      <c r="D6">
        <v>900</v>
      </c>
      <c r="E6" t="s">
        <v>55</v>
      </c>
      <c r="F6" t="s">
        <v>67</v>
      </c>
    </row>
    <row r="7" spans="1:6" x14ac:dyDescent="0.2">
      <c r="A7">
        <v>13</v>
      </c>
      <c r="B7" t="s">
        <v>46</v>
      </c>
      <c r="C7" t="s">
        <v>48</v>
      </c>
      <c r="D7">
        <v>7500</v>
      </c>
      <c r="E7" t="s">
        <v>55</v>
      </c>
      <c r="F7" t="s">
        <v>67</v>
      </c>
    </row>
    <row r="8" spans="1:6" x14ac:dyDescent="0.2">
      <c r="A8">
        <v>12</v>
      </c>
      <c r="B8" t="s">
        <v>44</v>
      </c>
      <c r="C8" t="s">
        <v>45</v>
      </c>
      <c r="D8">
        <v>12600</v>
      </c>
      <c r="E8" t="s">
        <v>55</v>
      </c>
      <c r="F8" t="s">
        <v>68</v>
      </c>
    </row>
    <row r="9" spans="1:6" x14ac:dyDescent="0.2">
      <c r="A9">
        <v>11</v>
      </c>
      <c r="B9" t="s">
        <v>42</v>
      </c>
      <c r="C9" t="s">
        <v>43</v>
      </c>
      <c r="D9">
        <v>6200</v>
      </c>
      <c r="E9" t="s">
        <v>55</v>
      </c>
      <c r="F9" t="s">
        <v>66</v>
      </c>
    </row>
    <row r="10" spans="1:6" x14ac:dyDescent="0.2">
      <c r="A10">
        <v>6</v>
      </c>
      <c r="B10" t="s">
        <v>26</v>
      </c>
      <c r="C10" t="s">
        <v>27</v>
      </c>
      <c r="D10">
        <v>37800</v>
      </c>
      <c r="E10" t="s">
        <v>55</v>
      </c>
      <c r="F10" t="s">
        <v>68</v>
      </c>
    </row>
    <row r="11" spans="1:6" x14ac:dyDescent="0.2">
      <c r="A11">
        <v>8</v>
      </c>
      <c r="B11" t="s">
        <v>32</v>
      </c>
      <c r="C11" t="s">
        <v>35</v>
      </c>
      <c r="D11">
        <v>5400</v>
      </c>
      <c r="E11" t="s">
        <v>55</v>
      </c>
      <c r="F11" t="s">
        <v>66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730DF5-463B-3A44-A3CE-658F634FF200}">
  <dimension ref="A1:E9"/>
  <sheetViews>
    <sheetView showGridLines="0" workbookViewId="0">
      <selection activeCell="B5" sqref="B5"/>
    </sheetView>
  </sheetViews>
  <sheetFormatPr baseColWidth="10" defaultRowHeight="16" x14ac:dyDescent="0.2"/>
  <cols>
    <col min="1" max="1" width="13" bestFit="1" customWidth="1"/>
    <col min="2" max="2" width="15" style="5" bestFit="1" customWidth="1"/>
    <col min="4" max="4" width="14.33203125" bestFit="1" customWidth="1"/>
    <col min="5" max="5" width="15" bestFit="1" customWidth="1"/>
  </cols>
  <sheetData>
    <row r="1" spans="1:5" x14ac:dyDescent="0.2">
      <c r="A1" s="9" t="s">
        <v>61</v>
      </c>
      <c r="B1" s="9"/>
      <c r="D1" s="9" t="s">
        <v>62</v>
      </c>
      <c r="E1" s="9"/>
    </row>
    <row r="3" spans="1:5" x14ac:dyDescent="0.2">
      <c r="A3" s="3" t="s">
        <v>54</v>
      </c>
      <c r="B3" s="7" t="s">
        <v>53</v>
      </c>
      <c r="D3" s="6" t="s">
        <v>54</v>
      </c>
      <c r="E3" s="7" t="s">
        <v>53</v>
      </c>
    </row>
    <row r="4" spans="1:5" x14ac:dyDescent="0.2">
      <c r="A4" s="4" t="s">
        <v>55</v>
      </c>
      <c r="B4" s="7">
        <v>200970.55</v>
      </c>
      <c r="D4" s="8" t="s">
        <v>58</v>
      </c>
      <c r="E4" s="7">
        <v>212260.71000000002</v>
      </c>
    </row>
    <row r="5" spans="1:5" x14ac:dyDescent="0.2">
      <c r="A5" s="4" t="s">
        <v>58</v>
      </c>
      <c r="B5" s="7">
        <v>66790.16</v>
      </c>
      <c r="D5" s="8" t="s">
        <v>55</v>
      </c>
      <c r="E5" s="7">
        <v>45000</v>
      </c>
    </row>
    <row r="6" spans="1:5" x14ac:dyDescent="0.2">
      <c r="A6" s="4" t="s">
        <v>70</v>
      </c>
      <c r="B6" s="7">
        <v>8400</v>
      </c>
      <c r="D6" s="8" t="s">
        <v>60</v>
      </c>
      <c r="E6" s="7">
        <v>21000</v>
      </c>
    </row>
    <row r="7" spans="1:5" x14ac:dyDescent="0.2">
      <c r="A7" s="4" t="s">
        <v>56</v>
      </c>
      <c r="B7" s="7">
        <v>1100</v>
      </c>
      <c r="D7" s="8" t="s">
        <v>59</v>
      </c>
      <c r="E7" s="7">
        <v>278260.71000000002</v>
      </c>
    </row>
    <row r="8" spans="1:5" x14ac:dyDescent="0.2">
      <c r="A8" s="4" t="s">
        <v>57</v>
      </c>
      <c r="B8" s="7">
        <v>1000</v>
      </c>
    </row>
    <row r="9" spans="1:5" x14ac:dyDescent="0.2">
      <c r="A9" s="4" t="s">
        <v>59</v>
      </c>
      <c r="B9" s="7">
        <v>278260.70999999996</v>
      </c>
    </row>
  </sheetData>
  <mergeCells count="2">
    <mergeCell ref="A1:B1"/>
    <mergeCell ref="D1:E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F315DD-6E56-2F41-AF05-8BD97EDE76E5}">
  <dimension ref="A1:K59"/>
  <sheetViews>
    <sheetView showGridLines="0" tabSelected="1" topLeftCell="A36" zoomScaleNormal="100" workbookViewId="0">
      <selection activeCell="E51" sqref="E51"/>
    </sheetView>
  </sheetViews>
  <sheetFormatPr baseColWidth="10" defaultRowHeight="16" x14ac:dyDescent="0.2"/>
  <cols>
    <col min="1" max="1" width="6.33203125" bestFit="1" customWidth="1"/>
    <col min="2" max="2" width="7.83203125" bestFit="1" customWidth="1"/>
    <col min="3" max="3" width="22.33203125" bestFit="1" customWidth="1"/>
    <col min="4" max="4" width="24.33203125" bestFit="1" customWidth="1"/>
    <col min="5" max="5" width="36.83203125" customWidth="1"/>
    <col min="6" max="6" width="45.33203125" bestFit="1" customWidth="1"/>
    <col min="7" max="7" width="18.33203125" customWidth="1"/>
    <col min="8" max="8" width="35.6640625" customWidth="1"/>
  </cols>
  <sheetData>
    <row r="1" spans="1:7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">
      <c r="A2">
        <v>1</v>
      </c>
      <c r="B2" t="s">
        <v>7</v>
      </c>
      <c r="C2" t="s">
        <v>8</v>
      </c>
      <c r="D2" t="s">
        <v>9</v>
      </c>
      <c r="E2" t="s">
        <v>10</v>
      </c>
      <c r="F2" t="s">
        <v>11</v>
      </c>
      <c r="G2">
        <v>45000</v>
      </c>
    </row>
    <row r="3" spans="1:7" x14ac:dyDescent="0.2">
      <c r="A3">
        <v>2</v>
      </c>
      <c r="B3" t="s">
        <v>7</v>
      </c>
      <c r="C3" t="s">
        <v>12</v>
      </c>
      <c r="D3" t="s">
        <v>9</v>
      </c>
      <c r="E3" t="s">
        <v>13</v>
      </c>
      <c r="F3" t="s">
        <v>14</v>
      </c>
      <c r="G3">
        <v>93970.55</v>
      </c>
    </row>
    <row r="4" spans="1:7" x14ac:dyDescent="0.2">
      <c r="A4">
        <v>3</v>
      </c>
      <c r="B4" t="s">
        <v>7</v>
      </c>
      <c r="C4" t="s">
        <v>12</v>
      </c>
      <c r="D4" t="s">
        <v>9</v>
      </c>
      <c r="E4" t="s">
        <v>15</v>
      </c>
      <c r="F4" t="s">
        <v>16</v>
      </c>
      <c r="G4">
        <v>29490.16</v>
      </c>
    </row>
    <row r="5" spans="1:7" x14ac:dyDescent="0.2">
      <c r="A5">
        <v>4</v>
      </c>
      <c r="B5" t="s">
        <v>7</v>
      </c>
      <c r="C5" t="s">
        <v>17</v>
      </c>
      <c r="D5" t="s">
        <v>18</v>
      </c>
      <c r="E5" t="s">
        <v>19</v>
      </c>
      <c r="F5" t="s">
        <v>20</v>
      </c>
      <c r="G5">
        <v>1500</v>
      </c>
    </row>
    <row r="6" spans="1:7" x14ac:dyDescent="0.2">
      <c r="A6">
        <v>5</v>
      </c>
      <c r="B6" t="s">
        <v>7</v>
      </c>
      <c r="C6" t="s">
        <v>21</v>
      </c>
      <c r="D6" t="s">
        <v>9</v>
      </c>
      <c r="E6" t="s">
        <v>15</v>
      </c>
      <c r="F6" t="s">
        <v>22</v>
      </c>
      <c r="G6">
        <v>8000</v>
      </c>
    </row>
    <row r="7" spans="1:7" x14ac:dyDescent="0.2">
      <c r="A7">
        <v>6</v>
      </c>
      <c r="B7" t="s">
        <v>7</v>
      </c>
      <c r="C7" t="s">
        <v>23</v>
      </c>
      <c r="D7" t="s">
        <v>24</v>
      </c>
      <c r="E7" t="s">
        <v>15</v>
      </c>
      <c r="F7" t="s">
        <v>25</v>
      </c>
      <c r="G7">
        <v>3500</v>
      </c>
    </row>
    <row r="8" spans="1:7" x14ac:dyDescent="0.2">
      <c r="A8">
        <v>7</v>
      </c>
      <c r="B8" t="s">
        <v>7</v>
      </c>
      <c r="C8" t="s">
        <v>26</v>
      </c>
      <c r="D8" t="s">
        <v>9</v>
      </c>
      <c r="E8" t="s">
        <v>13</v>
      </c>
      <c r="F8" t="s">
        <v>27</v>
      </c>
      <c r="G8">
        <v>54000</v>
      </c>
    </row>
    <row r="9" spans="1:7" x14ac:dyDescent="0.2">
      <c r="A9">
        <v>8</v>
      </c>
      <c r="B9" t="s">
        <v>7</v>
      </c>
      <c r="C9" t="s">
        <v>28</v>
      </c>
      <c r="D9" t="s">
        <v>29</v>
      </c>
      <c r="E9" t="s">
        <v>30</v>
      </c>
      <c r="F9" t="s">
        <v>31</v>
      </c>
      <c r="G9">
        <v>-500</v>
      </c>
    </row>
    <row r="10" spans="1:7" x14ac:dyDescent="0.2">
      <c r="A10">
        <v>9</v>
      </c>
      <c r="B10" t="s">
        <v>7</v>
      </c>
      <c r="C10" t="s">
        <v>32</v>
      </c>
      <c r="D10" t="s">
        <v>33</v>
      </c>
      <c r="E10" t="s">
        <v>34</v>
      </c>
      <c r="F10" t="s">
        <v>35</v>
      </c>
      <c r="G10">
        <v>5400</v>
      </c>
    </row>
    <row r="11" spans="1:7" x14ac:dyDescent="0.2">
      <c r="A11">
        <v>10</v>
      </c>
      <c r="B11" t="s">
        <v>7</v>
      </c>
      <c r="C11" t="s">
        <v>36</v>
      </c>
      <c r="D11" t="s">
        <v>24</v>
      </c>
      <c r="E11" t="s">
        <v>37</v>
      </c>
      <c r="F11" t="s">
        <v>38</v>
      </c>
      <c r="G11">
        <v>1100</v>
      </c>
    </row>
    <row r="12" spans="1:7" x14ac:dyDescent="0.2">
      <c r="A12">
        <v>11</v>
      </c>
      <c r="B12" t="s">
        <v>7</v>
      </c>
      <c r="C12" t="s">
        <v>39</v>
      </c>
      <c r="D12" t="s">
        <v>40</v>
      </c>
      <c r="E12" t="s">
        <v>13</v>
      </c>
      <c r="F12" t="s">
        <v>41</v>
      </c>
      <c r="G12">
        <v>4200</v>
      </c>
    </row>
    <row r="13" spans="1:7" x14ac:dyDescent="0.2">
      <c r="A13">
        <v>12</v>
      </c>
      <c r="B13" t="s">
        <v>7</v>
      </c>
      <c r="C13" t="s">
        <v>42</v>
      </c>
      <c r="D13" t="s">
        <v>9</v>
      </c>
      <c r="E13" t="s">
        <v>10</v>
      </c>
      <c r="F13" t="s">
        <v>43</v>
      </c>
      <c r="G13">
        <v>6200</v>
      </c>
    </row>
    <row r="14" spans="1:7" x14ac:dyDescent="0.2">
      <c r="A14">
        <v>13</v>
      </c>
      <c r="B14" t="s">
        <v>7</v>
      </c>
      <c r="C14" t="s">
        <v>44</v>
      </c>
      <c r="D14" t="s">
        <v>9</v>
      </c>
      <c r="E14" t="s">
        <v>15</v>
      </c>
      <c r="F14" t="s">
        <v>45</v>
      </c>
      <c r="G14">
        <v>18000</v>
      </c>
    </row>
    <row r="15" spans="1:7" x14ac:dyDescent="0.2">
      <c r="A15">
        <v>14</v>
      </c>
      <c r="B15" t="s">
        <v>7</v>
      </c>
      <c r="C15" t="s">
        <v>46</v>
      </c>
      <c r="D15" t="s">
        <v>24</v>
      </c>
      <c r="E15" t="s">
        <v>47</v>
      </c>
      <c r="F15" t="s">
        <v>48</v>
      </c>
      <c r="G15">
        <v>7500</v>
      </c>
    </row>
    <row r="16" spans="1:7" x14ac:dyDescent="0.2">
      <c r="A16">
        <v>15</v>
      </c>
      <c r="B16" t="s">
        <v>7</v>
      </c>
      <c r="C16" t="s">
        <v>49</v>
      </c>
      <c r="D16" t="s">
        <v>24</v>
      </c>
      <c r="E16" t="s">
        <v>50</v>
      </c>
      <c r="F16" t="s">
        <v>51</v>
      </c>
      <c r="G16">
        <v>900</v>
      </c>
    </row>
    <row r="20" spans="1:11" x14ac:dyDescent="0.2">
      <c r="A20" s="2" t="s">
        <v>52</v>
      </c>
      <c r="B20" s="2"/>
      <c r="C20" s="2"/>
      <c r="D20" s="2"/>
      <c r="E20" s="2"/>
      <c r="F20" s="2"/>
      <c r="G20" s="2"/>
      <c r="H20" s="2"/>
      <c r="I20" s="2"/>
      <c r="J20" s="2"/>
      <c r="K20" s="2"/>
    </row>
    <row r="22" spans="1:11" x14ac:dyDescent="0.2">
      <c r="C22" t="str" cm="1">
        <f t="array" ref="C22:J37">_xlfn._xlws.PY(0,0,A1:G16)</f>
        <v>LineID</v>
      </c>
      <c r="D22" t="str">
        <v>Period</v>
      </c>
      <c r="E22" t="str">
        <v>Vendor</v>
      </c>
      <c r="F22" t="str">
        <v>Account</v>
      </c>
      <c r="G22" t="str">
        <v>CostCenter</v>
      </c>
      <c r="H22" t="str">
        <v>Description</v>
      </c>
      <c r="I22" t="str">
        <v>Amount</v>
      </c>
      <c r="J22" t="str">
        <v>PL_Bucket</v>
      </c>
    </row>
    <row r="23" spans="1:11" x14ac:dyDescent="0.2">
      <c r="C23">
        <v>1</v>
      </c>
      <c r="D23" t="str">
        <v>2026-08</v>
      </c>
      <c r="E23" t="str">
        <v>OPENAI *API USAGE</v>
      </c>
      <c r="F23" t="str">
        <v>6100 Cloud Hosting</v>
      </c>
      <c r="G23" t="str">
        <v>CC4300 Product</v>
      </c>
      <c r="H23" t="str">
        <v>INV-0093821 usage Aug-Oct production LLM</v>
      </c>
      <c r="I23">
        <v>45000</v>
      </c>
      <c r="J23" t="str">
        <v>COGS</v>
      </c>
    </row>
    <row r="24" spans="1:11" x14ac:dyDescent="0.2">
      <c r="C24">
        <v>2</v>
      </c>
      <c r="D24" s="1" t="str">
        <v>2026-08</v>
      </c>
      <c r="E24" s="1" t="str">
        <v>AMAZON WEB SERVICES</v>
      </c>
      <c r="F24" s="1" t="str">
        <v>6100 Cloud Hosting</v>
      </c>
      <c r="G24" s="1" t="str">
        <v>CC4100 Platform Eng</v>
      </c>
      <c r="H24" s="1" t="str">
        <v>EC2 BoxUsage:p4d.24xlarge us-east-1 acct 4471</v>
      </c>
      <c r="I24" s="1">
        <v>93970.55</v>
      </c>
      <c r="J24" s="1" t="str">
        <v>R&amp;D</v>
      </c>
    </row>
    <row r="25" spans="1:11" x14ac:dyDescent="0.2">
      <c r="C25">
        <v>3</v>
      </c>
      <c r="D25" s="1" t="str">
        <v>2026-08</v>
      </c>
      <c r="E25" s="1" t="str">
        <v>AMAZON WEB SERVICES</v>
      </c>
      <c r="F25" s="1" t="str">
        <v>6100 Cloud Hosting</v>
      </c>
      <c r="G25" s="1" t="str">
        <v>CC4000 Engineering</v>
      </c>
      <c r="H25" s="1" t="str">
        <v>SageMaker ml.g5.12xlarge TrainingJob hrs</v>
      </c>
      <c r="I25" s="1">
        <v>29490.16</v>
      </c>
      <c r="J25" s="1" t="str">
        <v>R&amp;D</v>
      </c>
    </row>
    <row r="26" spans="1:11" x14ac:dyDescent="0.2">
      <c r="C26">
        <v>4</v>
      </c>
      <c r="D26" t="str">
        <v>2026-08</v>
      </c>
      <c r="E26" t="str">
        <v>VERTEX INC</v>
      </c>
      <c r="F26" t="str">
        <v>6200 Tax &amp; Compliance</v>
      </c>
      <c r="G26" t="str">
        <v>CC7000 Finance</v>
      </c>
      <c r="H26" t="str">
        <v>Sales tax compliance software annual sub</v>
      </c>
      <c r="I26">
        <v>1500</v>
      </c>
      <c r="J26" t="str">
        <v>Other_OpEx</v>
      </c>
    </row>
    <row r="27" spans="1:11" x14ac:dyDescent="0.2">
      <c r="C27">
        <v>5</v>
      </c>
      <c r="D27" t="str">
        <v>2026-08</v>
      </c>
      <c r="E27" t="str">
        <v>ANTHROPIC PBC</v>
      </c>
      <c r="F27" t="str">
        <v>6100 Cloud Hosting</v>
      </c>
      <c r="G27" t="str">
        <v>CC4000 Engineering</v>
      </c>
      <c r="H27" t="str">
        <v>Claude API - evaluation harness benchmarking</v>
      </c>
      <c r="I27">
        <v>8000</v>
      </c>
      <c r="J27" t="str">
        <v>R&amp;D</v>
      </c>
    </row>
    <row r="28" spans="1:11" x14ac:dyDescent="0.2">
      <c r="C28">
        <v>6</v>
      </c>
      <c r="D28" t="str">
        <v>2026-08</v>
      </c>
      <c r="E28" t="str">
        <v>GITHUB INC</v>
      </c>
      <c r="F28" t="str">
        <v>6500 Software Subscriptions</v>
      </c>
      <c r="G28" t="str">
        <v>CC4000 Engineering</v>
      </c>
      <c r="H28" t="str">
        <v>GitHub Copilot Enterprise seats (50)</v>
      </c>
      <c r="I28">
        <v>3500</v>
      </c>
      <c r="J28" t="str">
        <v>R&amp;D</v>
      </c>
    </row>
    <row r="29" spans="1:11" x14ac:dyDescent="0.2">
      <c r="C29">
        <v>7</v>
      </c>
      <c r="D29" s="1" t="str">
        <v>2026-08</v>
      </c>
      <c r="E29" s="1" t="str">
        <v>COREWEAVE INC</v>
      </c>
      <c r="F29" s="1" t="str">
        <v>6100 Cloud Hosting</v>
      </c>
      <c r="G29" s="1" t="str">
        <v>CC4100 Platform Eng</v>
      </c>
      <c r="H29" s="1" t="str">
        <v>H100 80GB reserved capacity 16x - production cluster</v>
      </c>
      <c r="I29" s="1">
        <v>54000</v>
      </c>
      <c r="J29" s="1" t="str">
        <v>R&amp;D</v>
      </c>
    </row>
    <row r="30" spans="1:11" x14ac:dyDescent="0.2">
      <c r="C30">
        <v>8</v>
      </c>
      <c r="D30" t="str">
        <v>2026-08</v>
      </c>
      <c r="E30" t="str">
        <v>FIREWORKS EVENTS LLC</v>
      </c>
      <c r="F30" t="str">
        <v>7100 T&amp;E</v>
      </c>
      <c r="G30" t="str">
        <v>CC9000 Admin</v>
      </c>
      <c r="H30" t="str">
        <v>Team offsite summer entertainment</v>
      </c>
      <c r="I30">
        <v>-500</v>
      </c>
      <c r="J30" t="str">
        <v>Other_OpEx</v>
      </c>
    </row>
    <row r="31" spans="1:11" x14ac:dyDescent="0.2">
      <c r="C31">
        <v>9</v>
      </c>
      <c r="D31" t="str">
        <v>2026-08</v>
      </c>
      <c r="E31" t="str">
        <v>SNOWFLAKE COMPUTING</v>
      </c>
      <c r="F31" t="str">
        <v>6300 Data Warehouse</v>
      </c>
      <c r="G31" t="str">
        <v>CC8000 Data &amp; Analytics</v>
      </c>
      <c r="H31" t="str">
        <v>Cortex AI vector search queries</v>
      </c>
      <c r="I31">
        <v>5400</v>
      </c>
      <c r="J31" t="str">
        <v>Other_OpEx</v>
      </c>
    </row>
    <row r="32" spans="1:11" x14ac:dyDescent="0.2">
      <c r="C32" s="1">
        <v>10</v>
      </c>
      <c r="D32" s="1" t="str">
        <v>2026-08</v>
      </c>
      <c r="E32" s="1" t="str">
        <v>OPENAI *CHATGPT TEAM</v>
      </c>
      <c r="F32" s="1" t="str">
        <v>6500 Software Subscriptions</v>
      </c>
      <c r="G32" s="1" t="str">
        <v>CC7100 HR</v>
      </c>
      <c r="H32" s="1" t="str">
        <v>ChatGPT Team seats - HR policy drafting</v>
      </c>
      <c r="I32" s="1">
        <v>1100</v>
      </c>
      <c r="J32" s="1" t="str">
        <v>R&amp;D</v>
      </c>
    </row>
    <row r="33" spans="1:11" x14ac:dyDescent="0.2">
      <c r="C33">
        <v>11</v>
      </c>
      <c r="D33" t="str">
        <v>2026-08</v>
      </c>
      <c r="E33" t="str">
        <v>DATADOG INC</v>
      </c>
      <c r="F33" t="str">
        <v>6400 Monitoring</v>
      </c>
      <c r="G33" t="str">
        <v>CC4100 Platform Eng</v>
      </c>
      <c r="H33" t="str">
        <v>LLM Observability and token tracing add-on</v>
      </c>
      <c r="I33">
        <v>4200</v>
      </c>
      <c r="J33" t="str">
        <v>R&amp;D</v>
      </c>
    </row>
    <row r="34" spans="1:11" x14ac:dyDescent="0.2">
      <c r="C34">
        <v>12</v>
      </c>
      <c r="D34" s="1" t="str">
        <v>2026-08</v>
      </c>
      <c r="E34" s="1" t="str">
        <v>PINECONE SYSTEMS</v>
      </c>
      <c r="F34" s="1" t="str">
        <v>6100 Cloud Hosting</v>
      </c>
      <c r="G34" s="1" t="str">
        <v>CC4300 Product</v>
      </c>
      <c r="H34" s="1" t="str">
        <v>Vector database pods production search</v>
      </c>
      <c r="I34" s="1">
        <v>6200</v>
      </c>
      <c r="J34" s="1" t="str">
        <v>Other_OpEx</v>
      </c>
    </row>
    <row r="35" spans="1:11" x14ac:dyDescent="0.2">
      <c r="C35">
        <v>13</v>
      </c>
      <c r="D35" t="str">
        <v>2026-08</v>
      </c>
      <c r="E35" t="str">
        <v>AWS</v>
      </c>
      <c r="F35" t="str">
        <v>6100 Cloud Hosting</v>
      </c>
      <c r="G35" t="str">
        <v>CC4000 Engineering</v>
      </c>
      <c r="H35" t="str">
        <v>Unallocated GPU cluster reserve p3.8xlarge</v>
      </c>
      <c r="I35">
        <v>18000</v>
      </c>
      <c r="J35" t="str">
        <v>R&amp;D</v>
      </c>
    </row>
    <row r="36" spans="1:11" x14ac:dyDescent="0.2">
      <c r="C36">
        <v>14</v>
      </c>
      <c r="D36" s="1" t="str">
        <v>2026-08</v>
      </c>
      <c r="E36" s="1" t="str">
        <v>GONG.IO</v>
      </c>
      <c r="F36" s="1" t="str">
        <v>6500 Software Subscriptions</v>
      </c>
      <c r="G36" s="1" t="str">
        <v>CC6100 Sales</v>
      </c>
      <c r="H36" s="1" t="str">
        <v>Revenue Intelligence AI scoring seats</v>
      </c>
      <c r="I36" s="1">
        <v>7500</v>
      </c>
      <c r="J36" s="1" t="str">
        <v>Other_OpEx</v>
      </c>
    </row>
    <row r="37" spans="1:11" x14ac:dyDescent="0.2">
      <c r="C37">
        <v>15</v>
      </c>
      <c r="D37" s="1" t="str">
        <v>2026-08</v>
      </c>
      <c r="E37" s="1" t="str">
        <v>MIDJOURNEY INC</v>
      </c>
      <c r="F37" s="1" t="str">
        <v>6500 Software Subscriptions</v>
      </c>
      <c r="G37" s="1" t="str">
        <v>CC6200 Marketing</v>
      </c>
      <c r="H37" s="1" t="str">
        <v>Pro plan image generation for campaigns</v>
      </c>
      <c r="I37" s="1">
        <v>900</v>
      </c>
      <c r="J37" s="1" t="str">
        <v>Other_OpEx</v>
      </c>
    </row>
    <row r="40" spans="1:11" x14ac:dyDescent="0.2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</row>
    <row r="42" spans="1:11" x14ac:dyDescent="0.2">
      <c r="C42" t="str" cm="1">
        <f t="array" ref="C42:H59">_xlfn._xlws.PY(1,0,A1:G16)</f>
        <v/>
      </c>
      <c r="D42" t="str">
        <v>Vendor</v>
      </c>
      <c r="E42" t="str">
        <v>Description</v>
      </c>
      <c r="F42" t="str">
        <v>Amount</v>
      </c>
      <c r="G42" t="str">
        <v>Bucket</v>
      </c>
      <c r="H42" t="str">
        <v>Rule</v>
      </c>
    </row>
    <row r="43" spans="1:11" x14ac:dyDescent="0.2">
      <c r="C43">
        <v>0</v>
      </c>
      <c r="D43" t="str">
        <v>OPENAI *API USAGE</v>
      </c>
      <c r="E43" t="str">
        <v>INV-0093821 usage Aug-Oct production LLM</v>
      </c>
      <c r="F43">
        <v>45000</v>
      </c>
      <c r="G43" t="str">
        <v>COGS</v>
      </c>
      <c r="H43" t="str">
        <v>Customer-Facing Inference &amp; Infrastructure</v>
      </c>
    </row>
    <row r="44" spans="1:11" x14ac:dyDescent="0.2">
      <c r="C44">
        <v>1</v>
      </c>
      <c r="D44" t="str">
        <v>AMAZON WEB SERVICES</v>
      </c>
      <c r="E44" t="str">
        <v>EC2 BoxUsage:p4d.24xlarge us-east-1 acct 4471</v>
      </c>
      <c r="F44">
        <v>93970.55</v>
      </c>
      <c r="G44" t="str">
        <v>COGS</v>
      </c>
      <c r="H44" t="str">
        <v>Customer-Facing Inference &amp; Infrastructure</v>
      </c>
    </row>
    <row r="45" spans="1:11" x14ac:dyDescent="0.2">
      <c r="C45">
        <v>2</v>
      </c>
      <c r="D45" t="str">
        <v>AMAZON WEB SERVICES</v>
      </c>
      <c r="E45" t="str">
        <v>SageMaker ml.g5.12xlarge TrainingJob hrs</v>
      </c>
      <c r="F45">
        <v>29490.16</v>
      </c>
      <c r="G45" t="str">
        <v>R&amp;D</v>
      </c>
      <c r="H45" t="str">
        <v>Model Training &amp; Experiments</v>
      </c>
    </row>
    <row r="46" spans="1:11" x14ac:dyDescent="0.2">
      <c r="C46">
        <v>3</v>
      </c>
      <c r="D46" t="str">
        <v>VERTEX INC</v>
      </c>
      <c r="E46" t="str">
        <v>Sales tax compliance software annual sub</v>
      </c>
      <c r="F46">
        <v>1500</v>
      </c>
      <c r="G46" t="str">
        <v>Not_AI</v>
      </c>
      <c r="H46" t="str">
        <v>False Positive Guardrail</v>
      </c>
    </row>
    <row r="47" spans="1:11" x14ac:dyDescent="0.2">
      <c r="C47">
        <v>4</v>
      </c>
      <c r="D47" t="str">
        <v>ANTHROPIC PBC</v>
      </c>
      <c r="E47" t="str">
        <v>Claude API - evaluation harness benchmarking</v>
      </c>
      <c r="F47">
        <v>8000</v>
      </c>
      <c r="G47" t="str">
        <v>R&amp;D</v>
      </c>
      <c r="H47" t="str">
        <v>Model Training &amp; Experiments</v>
      </c>
    </row>
    <row r="48" spans="1:11" x14ac:dyDescent="0.2">
      <c r="C48">
        <v>5</v>
      </c>
      <c r="D48" t="str">
        <v>GITHUB INC</v>
      </c>
      <c r="E48" t="str">
        <v>GitHub Copilot Enterprise seats (50)</v>
      </c>
      <c r="F48">
        <v>3500</v>
      </c>
      <c r="G48" t="str">
        <v>R&amp;D</v>
      </c>
      <c r="H48" t="str">
        <v>Engineering Dev Tools &amp; Observability</v>
      </c>
    </row>
    <row r="49" spans="3:8" x14ac:dyDescent="0.2">
      <c r="C49">
        <v>6</v>
      </c>
      <c r="D49" t="str">
        <v>COREWEAVE INC</v>
      </c>
      <c r="E49" t="str">
        <v>H100 80GB reserved capacity 16x - production cluster</v>
      </c>
      <c r="F49">
        <v>37800</v>
      </c>
      <c r="G49" t="str">
        <v>COGS</v>
      </c>
      <c r="H49" t="str">
        <v>Shared GPU Hosting Split (70%)</v>
      </c>
    </row>
    <row r="50" spans="3:8" x14ac:dyDescent="0.2">
      <c r="C50">
        <v>6</v>
      </c>
      <c r="D50" t="str">
        <v>COREWEAVE INC</v>
      </c>
      <c r="E50" t="str">
        <v>H100 80GB reserved capacity 16x - production cluster</v>
      </c>
      <c r="F50">
        <v>16200</v>
      </c>
      <c r="G50" t="str">
        <v>R&amp;D</v>
      </c>
      <c r="H50" t="str">
        <v>Shared GPU Hosting Split (30%)</v>
      </c>
    </row>
    <row r="51" spans="3:8" x14ac:dyDescent="0.2">
      <c r="C51">
        <v>7</v>
      </c>
      <c r="D51" t="str">
        <v>FIREWORKS EVENTS LLC</v>
      </c>
      <c r="E51" t="str">
        <v>Team offsite summer entertainment</v>
      </c>
      <c r="F51">
        <v>-500</v>
      </c>
      <c r="G51" t="str">
        <v>Not_AI</v>
      </c>
      <c r="H51" t="str">
        <v>False Positive Guardrail</v>
      </c>
    </row>
    <row r="52" spans="3:8" x14ac:dyDescent="0.2">
      <c r="C52">
        <v>8</v>
      </c>
      <c r="D52" t="str">
        <v>SNOWFLAKE COMPUTING</v>
      </c>
      <c r="E52" t="str">
        <v>Cortex AI vector search queries</v>
      </c>
      <c r="F52">
        <v>5400</v>
      </c>
      <c r="G52" t="str">
        <v>COGS</v>
      </c>
      <c r="H52" t="str">
        <v>Customer-Facing Inference &amp; Infrastructure</v>
      </c>
    </row>
    <row r="53" spans="3:8" x14ac:dyDescent="0.2">
      <c r="C53">
        <v>9</v>
      </c>
      <c r="D53" t="str">
        <v>OPENAI *CHATGPT TEAM</v>
      </c>
      <c r="E53" t="str">
        <v>ChatGPT Team seats - HR policy drafting</v>
      </c>
      <c r="F53">
        <v>1100</v>
      </c>
      <c r="G53" t="str">
        <v>G&amp;A</v>
      </c>
      <c r="H53" t="str">
        <v>Internal G&amp;A Productivity</v>
      </c>
    </row>
    <row r="54" spans="3:8" x14ac:dyDescent="0.2">
      <c r="C54">
        <v>10</v>
      </c>
      <c r="D54" t="str">
        <v>DATADOG INC</v>
      </c>
      <c r="E54" t="str">
        <v>LLM Observability and token tracing add-on</v>
      </c>
      <c r="F54">
        <v>4200</v>
      </c>
      <c r="G54" t="str">
        <v>R&amp;D</v>
      </c>
      <c r="H54" t="str">
        <v>Engineering Dev Tools &amp; Observability</v>
      </c>
    </row>
    <row r="55" spans="3:8" x14ac:dyDescent="0.2">
      <c r="C55">
        <v>11</v>
      </c>
      <c r="D55" t="str">
        <v>PINECONE SYSTEMS</v>
      </c>
      <c r="E55" t="str">
        <v>Vector database pods production search</v>
      </c>
      <c r="F55">
        <v>6200</v>
      </c>
      <c r="G55" t="str">
        <v>COGS</v>
      </c>
      <c r="H55" t="str">
        <v>Customer-Facing Inference &amp; Infrastructure</v>
      </c>
    </row>
    <row r="56" spans="3:8" x14ac:dyDescent="0.2">
      <c r="C56">
        <v>12</v>
      </c>
      <c r="D56" t="str">
        <v>AWS</v>
      </c>
      <c r="E56" t="str">
        <v>Unallocated GPU cluster reserve p3.8xlarge</v>
      </c>
      <c r="F56">
        <v>12600</v>
      </c>
      <c r="G56" t="str">
        <v>COGS</v>
      </c>
      <c r="H56" t="str">
        <v>Shared GPU Hosting Split (70%)</v>
      </c>
    </row>
    <row r="57" spans="3:8" x14ac:dyDescent="0.2">
      <c r="C57">
        <v>12</v>
      </c>
      <c r="D57" t="str">
        <v>AWS</v>
      </c>
      <c r="E57" t="str">
        <v>Unallocated GPU cluster reserve p3.8xlarge</v>
      </c>
      <c r="F57">
        <v>5400</v>
      </c>
      <c r="G57" t="str">
        <v>R&amp;D</v>
      </c>
      <c r="H57" t="str">
        <v>Shared GPU Hosting Split (30%)</v>
      </c>
    </row>
    <row r="58" spans="3:8" x14ac:dyDescent="0.2">
      <c r="C58">
        <v>13</v>
      </c>
      <c r="D58" t="str">
        <v>GONG.IO</v>
      </c>
      <c r="E58" t="str">
        <v>Revenue Intelligence AI scoring seats</v>
      </c>
      <c r="F58">
        <v>7500</v>
      </c>
      <c r="G58" t="str">
        <v>S&amp;M</v>
      </c>
      <c r="H58" t="str">
        <v>Sales &amp; Marketing AI</v>
      </c>
    </row>
    <row r="59" spans="3:8" x14ac:dyDescent="0.2">
      <c r="C59">
        <v>14</v>
      </c>
      <c r="D59" t="str">
        <v>MIDJOURNEY INC</v>
      </c>
      <c r="E59" t="str">
        <v>Pro plan image generation for campaigns</v>
      </c>
      <c r="F59">
        <v>900</v>
      </c>
      <c r="G59" t="str">
        <v>S&amp;M</v>
      </c>
      <c r="H59" t="str">
        <v>Sales &amp; Marketing AI</v>
      </c>
    </row>
  </sheetData>
  <mergeCells count="2">
    <mergeCell ref="A20:K20"/>
    <mergeCell ref="A40:K4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Detail1</vt:lpstr>
      <vt:lpstr>Summary</vt:lpstr>
      <vt:lpstr>CostLedger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Pooja Jaju</dc:creator>
  <cp:lastModifiedBy>Pooja Jaju</cp:lastModifiedBy>
  <dcterms:created xsi:type="dcterms:W3CDTF">2026-10-24T00:51:08Z</dcterms:created>
  <dcterms:modified xsi:type="dcterms:W3CDTF">2026-10-24T03:01:52Z</dcterms:modified>
</cp:coreProperties>
</file>